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2\Desktop\Dhruv Swami  D-18\"/>
    </mc:Choice>
  </mc:AlternateContent>
  <xr:revisionPtr revIDLastSave="0" documentId="13_ncr:1_{0AE74579-B701-4D10-96BD-0007F9D44F97}" xr6:coauthVersionLast="47" xr6:coauthVersionMax="47" xr10:uidLastSave="{00000000-0000-0000-0000-000000000000}"/>
  <bookViews>
    <workbookView xWindow="-110" yWindow="-110" windowWidth="19420" windowHeight="10300" activeTab="2" xr2:uid="{3E71E982-E7CB-4657-9695-705209A7CEE8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  <c r="K8" i="3"/>
  <c r="K5" i="3"/>
  <c r="K2" i="3"/>
  <c r="K6" i="2"/>
  <c r="K3" i="2"/>
  <c r="N9" i="1"/>
  <c r="N6" i="1"/>
  <c r="N3" i="1"/>
  <c r="K9" i="1"/>
  <c r="K6" i="1"/>
  <c r="K3" i="1"/>
</calcChain>
</file>

<file path=xl/sharedStrings.xml><?xml version="1.0" encoding="utf-8"?>
<sst xmlns="http://schemas.openxmlformats.org/spreadsheetml/2006/main" count="119" uniqueCount="37">
  <si>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</si>
  <si>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</si>
  <si>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</si>
  <si>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</si>
  <si>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</si>
  <si>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</si>
  <si>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</si>
  <si>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</si>
  <si>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</si>
  <si>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</si>
  <si>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</si>
  <si>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</si>
  <si>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</si>
  <si>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</si>
  <si>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</si>
  <si>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</si>
  <si>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</si>
  <si>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</si>
  <si>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</si>
  <si>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</si>
  <si>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</si>
  <si>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</si>
  <si>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</si>
  <si>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</si>
  <si>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</si>
  <si>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</si>
  <si>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</si>
  <si>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</si>
  <si>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</si>
  <si>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</si>
  <si>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</si>
  <si>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</si>
  <si>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</si>
  <si>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E114</t>
  </si>
  <si>
    <t>Display Value</t>
  </si>
  <si>
    <t>Bonus %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</si>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</sst>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1F2328"/>
      <name val="Calibri"/>
      <family val="2"/>
      <scheme val="minor"/>
    </font>
    <font>
      <sz val="8"/>
      <color rgb="FF1F2328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  <font>
      <sz val="7"/>
      <color rgb="FF1F2328"/>
      <name val="Consolas"/>
      <family val="3"/>
    </font>
    <font>
      <b/>
      <sz val="8"/>
      <color rgb="FF1F232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9" fontId="4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E074-FECA-426A-B219-CB9EDDE4B6C8}">
  <dimension ref="A1:N9"/>
  <sheetViews>
    <sheetView workbookViewId="0">
      <selection sqref="A1:F9"/>
    </sheetView>
  </sheetViews>
  <sheetFormatPr defaultRowHeight="14.5" x14ac:dyDescent="0.35"/>
  <cols>
    <col min="14" max="14" width="10.90625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14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J2" s="2" t="s">
        <v>0</v>
      </c>
      <c r="K2" s="2" t="s">
        <v>1</v>
      </c>
      <c r="M2" s="2" t="s">
        <v>0</v>
      </c>
      <c r="N2" s="2" t="s">
        <v>3</v>
      </c>
    </row>
    <row r="3" spans="1:14" ht="21" x14ac:dyDescent="0.35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  <c r="J3" s="4" t="s">
        <v>18</v>
      </c>
      <c r="K3" s="4" t="str">
        <f>VLOOKUP(J3,A2:F9,2,0)</f>
        <v>Neha Singh</v>
      </c>
      <c r="M3" s="3" t="s">
        <v>28</v>
      </c>
      <c r="N3" t="str">
        <f>VLOOKUP(M3,A2:F9,4,0)</f>
        <v>Hyderabad</v>
      </c>
    </row>
    <row r="4" spans="1:14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</row>
    <row r="5" spans="1:14" ht="21" x14ac:dyDescent="0.35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  <c r="J5" s="2" t="s">
        <v>0</v>
      </c>
      <c r="K5" s="2" t="s">
        <v>2</v>
      </c>
      <c r="M5" s="2" t="s">
        <v>0</v>
      </c>
      <c r="N5" s="2" t="s">
        <v>34</v>
      </c>
    </row>
    <row r="6" spans="1:14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  <c r="J6" s="4" t="s">
        <v>14</v>
      </c>
      <c r="K6" t="str">
        <f>VLOOKUP(J6,A2:F9,3,0)</f>
        <v>IT</v>
      </c>
      <c r="M6" s="4" t="s">
        <v>33</v>
      </c>
      <c r="N6" t="str">
        <f>IFERROR(VLOOKUP(M6,A2:F9,1,FALSE),"Not Found")</f>
        <v>Not Found</v>
      </c>
    </row>
    <row r="7" spans="1:14" x14ac:dyDescent="0.35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</row>
    <row r="8" spans="1:14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  <c r="J8" s="2" t="s">
        <v>1</v>
      </c>
      <c r="K8" s="1" t="s">
        <v>4</v>
      </c>
      <c r="M8" s="2" t="s">
        <v>0</v>
      </c>
      <c r="N8" s="1" t="s">
        <v>5</v>
      </c>
    </row>
    <row r="9" spans="1:14" x14ac:dyDescent="0.35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  <c r="J9" s="5" t="s">
        <v>19</v>
      </c>
      <c r="K9">
        <f>VLOOKUP(J9,B2:F9,4,0)</f>
        <v>58000</v>
      </c>
      <c r="M9" s="3" t="s">
        <v>22</v>
      </c>
      <c r="N9">
        <f>VLOOKUP(M9,A2:F9,6,0)</f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79BA-22FA-401A-9FD0-B879CA9520C0}">
  <dimension ref="A1:K6"/>
  <sheetViews>
    <sheetView workbookViewId="0">
      <selection activeCell="J8" sqref="J8"/>
    </sheetView>
  </sheetViews>
  <sheetFormatPr defaultRowHeight="14.5" x14ac:dyDescent="0.35"/>
  <cols>
    <col min="10" max="10" width="10.08984375" customWidth="1"/>
  </cols>
  <sheetData>
    <row r="1" spans="1:11" ht="23" x14ac:dyDescent="0.35">
      <c r="A1" s="7" t="s">
        <v>2</v>
      </c>
      <c r="B1" s="8" t="s">
        <v>8</v>
      </c>
      <c r="C1" s="8" t="s">
        <v>12</v>
      </c>
      <c r="D1" s="8" t="s">
        <v>16</v>
      </c>
      <c r="E1" s="8" t="s">
        <v>20</v>
      </c>
      <c r="F1" s="8" t="s">
        <v>24</v>
      </c>
    </row>
    <row r="2" spans="1:11" ht="23" x14ac:dyDescent="0.35">
      <c r="A2" s="9" t="s">
        <v>35</v>
      </c>
      <c r="B2" s="10">
        <v>0.1</v>
      </c>
      <c r="C2" s="10">
        <v>0.08</v>
      </c>
      <c r="D2" s="10">
        <v>0.12</v>
      </c>
      <c r="E2" s="10">
        <v>0.15</v>
      </c>
      <c r="F2" s="10">
        <v>0.09</v>
      </c>
      <c r="J2" s="7" t="s">
        <v>2</v>
      </c>
      <c r="K2" s="8" t="s">
        <v>16</v>
      </c>
    </row>
    <row r="3" spans="1:11" x14ac:dyDescent="0.35">
      <c r="J3" s="9" t="s">
        <v>35</v>
      </c>
      <c r="K3">
        <f>HLOOKUP("IT",A1:D2,2,FALSE)</f>
        <v>0.12</v>
      </c>
    </row>
    <row r="5" spans="1:11" x14ac:dyDescent="0.35">
      <c r="J5" s="7" t="s">
        <v>2</v>
      </c>
      <c r="K5" s="8" t="s">
        <v>20</v>
      </c>
    </row>
    <row r="6" spans="1:11" x14ac:dyDescent="0.35">
      <c r="J6" s="9" t="s">
        <v>35</v>
      </c>
      <c r="K6">
        <f>HLOOKUP("finance",A1:E2,2,FALSE)</f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6C15-8CBE-41B3-BE62-570F6F9425FB}">
  <dimension ref="A1:N9"/>
  <sheetViews>
    <sheetView tabSelected="1" workbookViewId="0">
      <selection activeCell="N3" sqref="N3"/>
    </sheetView>
  </sheetViews>
  <sheetFormatPr defaultRowHeight="14.5" x14ac:dyDescent="0.35"/>
  <sheetData>
    <row r="1" spans="1:14" x14ac:dyDescent="0.35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J1" s="11" t="s">
        <v>0</v>
      </c>
      <c r="K1" s="11" t="s">
        <v>4</v>
      </c>
      <c r="M1" s="11" t="s">
        <v>0</v>
      </c>
      <c r="N1" s="12" t="s">
        <v>1</v>
      </c>
    </row>
    <row r="2" spans="1:14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J2" s="1" t="s">
        <v>22</v>
      </c>
      <c r="K2">
        <f>_xlfn.XLOOKUP(J2,A1:A9,E1:E9,"Invalid")</f>
        <v>48000</v>
      </c>
      <c r="M2" s="14" t="s">
        <v>36</v>
      </c>
      <c r="N2" t="str">
        <f>_xlfn.XLOOKUP(M2,A2:A9,B2:B9,"Employee Not Found")</f>
        <v>Employee Not Found</v>
      </c>
    </row>
    <row r="3" spans="1:14" ht="21" x14ac:dyDescent="0.35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</row>
    <row r="4" spans="1:14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J4" s="12" t="s">
        <v>1</v>
      </c>
      <c r="K4" s="12" t="s">
        <v>2</v>
      </c>
    </row>
    <row r="5" spans="1:14" ht="21" x14ac:dyDescent="0.35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  <c r="J5" s="6" t="s">
        <v>11</v>
      </c>
      <c r="K5" t="str">
        <f>_xlfn.XLOOKUP(J5,B1:B9,C1:C9,"Not Found")</f>
        <v>HR</v>
      </c>
    </row>
    <row r="6" spans="1:14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</row>
    <row r="7" spans="1:14" x14ac:dyDescent="0.35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  <c r="J7" s="12" t="s">
        <v>1</v>
      </c>
      <c r="K7" s="12" t="s">
        <v>3</v>
      </c>
    </row>
    <row r="8" spans="1:14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  <c r="J8" s="13" t="s">
        <v>15</v>
      </c>
      <c r="K8" t="str">
        <f>_xlfn.XLOOKUP(J8,B1:B9,D1:D9,"invaild employee name")</f>
        <v>Bangalore</v>
      </c>
    </row>
    <row r="9" spans="1:14" x14ac:dyDescent="0.35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ASDC22</dc:creator>
  <cp:lastModifiedBy>ASDC22</cp:lastModifiedBy>
  <dcterms:created xsi:type="dcterms:W3CDTF">2026-07-12T08:00:59Z</dcterms:created>
  <dcterms:modified xsi:type="dcterms:W3CDTF">2026-07-12T09:38:00Z</dcterms:modified>
</cp:coreProperties>
</file>